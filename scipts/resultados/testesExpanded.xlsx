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guelsantos/Desktop/UM/SO/trabalho2/resultados/"/>
    </mc:Choice>
  </mc:AlternateContent>
  <xr:revisionPtr revIDLastSave="0" documentId="13_ncr:1_{379C49EA-DC96-E345-86F6-642279ED9919}" xr6:coauthVersionLast="47" xr6:coauthVersionMax="47" xr10:uidLastSave="{00000000-0000-0000-0000-000000000000}"/>
  <bookViews>
    <workbookView xWindow="0" yWindow="740" windowWidth="30240" windowHeight="18900" xr2:uid="{7E904BE8-5F0D-AA4C-A980-0FF34AC59185}"/>
  </bookViews>
  <sheets>
    <sheet name="Folh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6" i="1" l="1"/>
  <c r="F27" i="1"/>
  <c r="F28" i="1"/>
  <c r="F29" i="1"/>
  <c r="F30" i="1"/>
  <c r="F31" i="1"/>
  <c r="F32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</calcChain>
</file>

<file path=xl/sharedStrings.xml><?xml version="1.0" encoding="utf-8"?>
<sst xmlns="http://schemas.openxmlformats.org/spreadsheetml/2006/main" count="36" uniqueCount="17">
  <si>
    <t>LRU</t>
  </si>
  <si>
    <t>MRU</t>
  </si>
  <si>
    <t>Random</t>
  </si>
  <si>
    <t>Tempo total</t>
  </si>
  <si>
    <t>$ -a</t>
  </si>
  <si>
    <t>$ -d</t>
  </si>
  <si>
    <t>$ -c</t>
  </si>
  <si>
    <t>$ -l</t>
  </si>
  <si>
    <t>$ -s</t>
  </si>
  <si>
    <t>Teste 1</t>
  </si>
  <si>
    <t>Teste 2</t>
  </si>
  <si>
    <t>Teste 3</t>
  </si>
  <si>
    <t>Média geral</t>
  </si>
  <si>
    <t>Teste 1 c/dups</t>
  </si>
  <si>
    <t>Teste 2  s/dups</t>
  </si>
  <si>
    <t>Espaço Disco(kb)</t>
  </si>
  <si>
    <t>Ganhos/Perdas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</si>
</sst>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1"/>
      <color rgb="FF000000"/>
      <name val="Menlo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Border="1"/>
    <xf numFmtId="0" fontId="0" fillId="0" borderId="4" xfId="0" applyBorder="1"/>
    <xf numFmtId="0" fontId="1" fillId="0" borderId="4" xfId="0" applyFont="1" applyBorder="1"/>
    <xf numFmtId="0" fontId="0" fillId="0" borderId="5" xfId="0" applyBorder="1"/>
    <xf numFmtId="0" fontId="0" fillId="0" borderId="6" xfId="0" applyBorder="1"/>
    <xf numFmtId="0" fontId="0" fillId="0" borderId="8" xfId="0" applyBorder="1"/>
    <xf numFmtId="0" fontId="1" fillId="0" borderId="8" xfId="0" applyFont="1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1" xfId="0" applyBorder="1"/>
    <xf numFmtId="0" fontId="0" fillId="0" borderId="14" xfId="0" applyBorder="1"/>
    <xf numFmtId="0" fontId="0" fillId="0" borderId="1" xfId="0" applyBorder="1"/>
    <xf numFmtId="0" fontId="2" fillId="0" borderId="12" xfId="0" applyFont="1" applyBorder="1"/>
    <xf numFmtId="0" fontId="2" fillId="0" borderId="14" xfId="0" applyFont="1" applyBorder="1"/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3" xfId="0" applyBorder="1"/>
    <xf numFmtId="0" fontId="1" fillId="0" borderId="0" xfId="0" applyFont="1" applyBorder="1"/>
    <xf numFmtId="0" fontId="0" fillId="0" borderId="12" xfId="0" applyBorder="1"/>
    <xf numFmtId="0" fontId="0" fillId="0" borderId="15" xfId="0" applyBorder="1"/>
    <xf numFmtId="0" fontId="0" fillId="0" borderId="15" xfId="0" applyFill="1" applyBorder="1"/>
    <xf numFmtId="0" fontId="2" fillId="0" borderId="15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42F6D-8E3E-6D40-AD05-A157C5AD1551}">
  <dimension ref="B3:G32"/>
  <sheetViews>
    <sheetView tabSelected="1" zoomScale="125" workbookViewId="0">
      <selection activeCell="I12" sqref="I12"/>
    </sheetView>
  </sheetViews>
  <sheetFormatPr baseColWidth="10" defaultRowHeight="16" x14ac:dyDescent="0.2"/>
  <cols>
    <col min="3" max="3" width="12.6640625" customWidth="1"/>
    <col min="4" max="4" width="13.1640625" customWidth="1"/>
    <col min="5" max="5" width="15.6640625" customWidth="1"/>
  </cols>
  <sheetData>
    <row r="3" spans="2:7" ht="17" thickBot="1" x14ac:dyDescent="0.25"/>
    <row r="4" spans="2:7" ht="17" thickBot="1" x14ac:dyDescent="0.25">
      <c r="C4" s="14" t="s">
        <v>9</v>
      </c>
      <c r="D4" s="12" t="s">
        <v>10</v>
      </c>
      <c r="E4" s="12" t="s">
        <v>11</v>
      </c>
      <c r="G4" s="14" t="s">
        <v>12</v>
      </c>
    </row>
    <row r="5" spans="2:7" ht="17" thickBot="1" x14ac:dyDescent="0.25">
      <c r="B5" s="17" t="s">
        <v>0</v>
      </c>
      <c r="C5" s="16">
        <v>8.4700000000000006</v>
      </c>
      <c r="D5" s="13">
        <v>0.75670000000000004</v>
      </c>
      <c r="E5" s="13">
        <v>8.92</v>
      </c>
      <c r="F5" s="20" t="s">
        <v>3</v>
      </c>
      <c r="G5" s="22">
        <f>AVERAGE(C5:E5)</f>
        <v>6.0489000000000006</v>
      </c>
    </row>
    <row r="6" spans="2:7" ht="17" thickBot="1" x14ac:dyDescent="0.25">
      <c r="B6" s="18"/>
      <c r="C6" s="2">
        <v>4.5999999999999999E-3</v>
      </c>
      <c r="D6" s="2">
        <v>4.7000000000000002E-3</v>
      </c>
      <c r="E6" s="2">
        <v>4.8999999999999998E-3</v>
      </c>
      <c r="F6" s="1" t="s">
        <v>4</v>
      </c>
      <c r="G6" s="22">
        <f>AVERAGE(C6:E6)</f>
        <v>4.7333333333333333E-3</v>
      </c>
    </row>
    <row r="7" spans="2:7" ht="17" thickBot="1" x14ac:dyDescent="0.25">
      <c r="B7" s="18"/>
      <c r="C7" s="2">
        <v>4.4999999999999997E-3</v>
      </c>
      <c r="D7" s="2">
        <v>4.7000000000000002E-3</v>
      </c>
      <c r="E7" s="2">
        <v>4.8999999999999998E-3</v>
      </c>
      <c r="F7" s="1" t="s">
        <v>5</v>
      </c>
      <c r="G7" s="22">
        <f>AVERAGE(C7:E7)</f>
        <v>4.7000000000000002E-3</v>
      </c>
    </row>
    <row r="8" spans="2:7" ht="17" thickBot="1" x14ac:dyDescent="0.25">
      <c r="B8" s="18"/>
      <c r="C8" s="2">
        <v>4.7999999999999996E-3</v>
      </c>
      <c r="D8" s="2">
        <v>5.1000000000000004E-3</v>
      </c>
      <c r="E8" s="2">
        <v>5.1999999999999998E-3</v>
      </c>
      <c r="F8" s="1" t="s">
        <v>6</v>
      </c>
      <c r="G8" s="22">
        <f>AVERAGE(C8:E8)</f>
        <v>5.0333333333333332E-3</v>
      </c>
    </row>
    <row r="9" spans="2:7" ht="17" thickBot="1" x14ac:dyDescent="0.25">
      <c r="B9" s="18"/>
      <c r="C9" s="2">
        <v>4.7999999999999996E-3</v>
      </c>
      <c r="D9" s="2">
        <v>5.4999999999999997E-3</v>
      </c>
      <c r="E9" s="3">
        <v>4.8999999999999998E-3</v>
      </c>
      <c r="F9" s="21" t="s">
        <v>7</v>
      </c>
      <c r="G9" s="22">
        <f>AVERAGE(C9:E9)</f>
        <v>5.0666666666666664E-3</v>
      </c>
    </row>
    <row r="10" spans="2:7" ht="17" thickBot="1" x14ac:dyDescent="0.25">
      <c r="B10" s="19"/>
      <c r="C10" s="5">
        <v>8.9999999999999993E-3</v>
      </c>
      <c r="D10" s="5">
        <v>8.9999999999999993E-3</v>
      </c>
      <c r="E10" s="5">
        <v>8.9999999999999993E-3</v>
      </c>
      <c r="F10" s="4" t="s">
        <v>8</v>
      </c>
      <c r="G10" s="22">
        <f>AVERAGE(C10:E10)</f>
        <v>8.9999999999999993E-3</v>
      </c>
    </row>
    <row r="11" spans="2:7" ht="17" thickBot="1" x14ac:dyDescent="0.25">
      <c r="B11" s="17" t="s">
        <v>1</v>
      </c>
      <c r="C11" s="13">
        <v>8.6780000000000008</v>
      </c>
      <c r="D11" s="13">
        <v>0.73980000000000001</v>
      </c>
      <c r="E11" s="13">
        <v>8.9</v>
      </c>
      <c r="F11" s="20" t="s">
        <v>3</v>
      </c>
      <c r="G11" s="22">
        <f>AVERAGE(C11:E11)</f>
        <v>6.1059333333333337</v>
      </c>
    </row>
    <row r="12" spans="2:7" ht="17" thickBot="1" x14ac:dyDescent="0.25">
      <c r="B12" s="18"/>
      <c r="C12" s="2">
        <v>4.7000000000000002E-3</v>
      </c>
      <c r="D12" s="2">
        <v>4.7000000000000002E-3</v>
      </c>
      <c r="E12" s="2">
        <v>4.7999999999999996E-3</v>
      </c>
      <c r="F12" s="1" t="s">
        <v>4</v>
      </c>
      <c r="G12" s="22">
        <f>AVERAGE(C12:E12)</f>
        <v>4.7333333333333333E-3</v>
      </c>
    </row>
    <row r="13" spans="2:7" ht="17" thickBot="1" x14ac:dyDescent="0.25">
      <c r="B13" s="18"/>
      <c r="C13" s="3">
        <v>4.5999999999999999E-3</v>
      </c>
      <c r="D13" s="2">
        <v>4.7999999999999996E-3</v>
      </c>
      <c r="E13" s="2">
        <v>4.7999999999999996E-3</v>
      </c>
      <c r="F13" s="1" t="s">
        <v>5</v>
      </c>
      <c r="G13" s="22">
        <f>AVERAGE(C13:E13)</f>
        <v>4.7333333333333324E-3</v>
      </c>
    </row>
    <row r="14" spans="2:7" ht="17" thickBot="1" x14ac:dyDescent="0.25">
      <c r="B14" s="18"/>
      <c r="C14" s="3">
        <v>4.8999999999999998E-3</v>
      </c>
      <c r="D14" s="2">
        <v>5.0000000000000001E-3</v>
      </c>
      <c r="E14" s="2">
        <v>5.1000000000000004E-3</v>
      </c>
      <c r="F14" s="1" t="s">
        <v>6</v>
      </c>
      <c r="G14" s="22">
        <f>AVERAGE(C14:E14)</f>
        <v>5.0000000000000001E-3</v>
      </c>
    </row>
    <row r="15" spans="2:7" ht="17" thickBot="1" x14ac:dyDescent="0.25">
      <c r="B15" s="18"/>
      <c r="C15" s="3">
        <v>5.1999999999999998E-3</v>
      </c>
      <c r="D15" s="2">
        <v>5.0000000000000001E-3</v>
      </c>
      <c r="E15" s="2">
        <v>5.1000000000000004E-3</v>
      </c>
      <c r="F15" s="21" t="s">
        <v>7</v>
      </c>
      <c r="G15" s="22">
        <f>AVERAGE(C15:E15)</f>
        <v>5.1000000000000004E-3</v>
      </c>
    </row>
    <row r="16" spans="2:7" ht="17" thickBot="1" x14ac:dyDescent="0.25">
      <c r="B16" s="19"/>
      <c r="C16" s="3">
        <v>9.2999999999999992E-3</v>
      </c>
      <c r="D16" s="5">
        <v>8.0000000000000002E-3</v>
      </c>
      <c r="E16" s="5">
        <v>8.8999999999999999E-3</v>
      </c>
      <c r="F16" s="4" t="s">
        <v>8</v>
      </c>
      <c r="G16" s="22">
        <f>AVERAGE(C16:E16)</f>
        <v>8.7333333333333343E-3</v>
      </c>
    </row>
    <row r="17" spans="2:7" ht="17" thickBot="1" x14ac:dyDescent="0.25">
      <c r="B17" s="17" t="s">
        <v>2</v>
      </c>
      <c r="C17" s="13">
        <v>8.5150000000000006</v>
      </c>
      <c r="D17" s="13">
        <v>0.75529999999999997</v>
      </c>
      <c r="E17" s="13">
        <v>8.68</v>
      </c>
      <c r="F17" s="20" t="s">
        <v>3</v>
      </c>
      <c r="G17" s="22">
        <f>AVERAGE(C17:E17)</f>
        <v>5.9834333333333332</v>
      </c>
    </row>
    <row r="18" spans="2:7" ht="17" thickBot="1" x14ac:dyDescent="0.25">
      <c r="B18" s="18"/>
      <c r="C18" s="2">
        <v>4.7000000000000002E-3</v>
      </c>
      <c r="D18" s="2">
        <v>5.0000000000000001E-3</v>
      </c>
      <c r="E18" s="2">
        <v>4.7999999999999996E-3</v>
      </c>
      <c r="F18" s="1" t="s">
        <v>4</v>
      </c>
      <c r="G18" s="22">
        <f>AVERAGE(C18:E18)</f>
        <v>4.8333333333333327E-3</v>
      </c>
    </row>
    <row r="19" spans="2:7" ht="17" thickBot="1" x14ac:dyDescent="0.25">
      <c r="B19" s="18"/>
      <c r="C19" s="2">
        <v>4.5999999999999999E-3</v>
      </c>
      <c r="D19" s="2">
        <v>5.0000000000000001E-3</v>
      </c>
      <c r="E19" s="3">
        <v>4.8999999999999998E-3</v>
      </c>
      <c r="F19" s="1" t="s">
        <v>5</v>
      </c>
      <c r="G19" s="22">
        <f>AVERAGE(C19:E19)</f>
        <v>4.8333333333333336E-3</v>
      </c>
    </row>
    <row r="20" spans="2:7" ht="17" thickBot="1" x14ac:dyDescent="0.25">
      <c r="B20" s="18"/>
      <c r="C20" s="2">
        <v>4.7999999999999996E-3</v>
      </c>
      <c r="D20" s="2">
        <v>5.1000000000000004E-3</v>
      </c>
      <c r="E20" s="3">
        <v>4.8999999999999998E-3</v>
      </c>
      <c r="F20" s="1" t="s">
        <v>6</v>
      </c>
      <c r="G20" s="22">
        <f>AVERAGE(C20:E20)</f>
        <v>4.933333333333333E-3</v>
      </c>
    </row>
    <row r="21" spans="2:7" ht="17" thickBot="1" x14ac:dyDescent="0.25">
      <c r="B21" s="18"/>
      <c r="C21" s="2">
        <v>4.7999999999999996E-3</v>
      </c>
      <c r="D21" s="2">
        <v>5.1999999999999998E-3</v>
      </c>
      <c r="E21" s="2">
        <v>4.7999999999999996E-3</v>
      </c>
      <c r="F21" s="21" t="s">
        <v>7</v>
      </c>
      <c r="G21" s="22">
        <f>AVERAGE(C21:E21)</f>
        <v>4.9333333333333321E-3</v>
      </c>
    </row>
    <row r="22" spans="2:7" ht="17" thickBot="1" x14ac:dyDescent="0.25">
      <c r="B22" s="19"/>
      <c r="C22" s="5">
        <v>9.1000000000000004E-3</v>
      </c>
      <c r="D22" s="5">
        <v>8.0000000000000002E-3</v>
      </c>
      <c r="E22" s="5">
        <v>8.6E-3</v>
      </c>
      <c r="F22" s="4" t="s">
        <v>8</v>
      </c>
      <c r="G22" s="22">
        <f>AVERAGE(C22:E22)</f>
        <v>8.5666666666666669E-3</v>
      </c>
    </row>
    <row r="24" spans="2:7" ht="17" thickBot="1" x14ac:dyDescent="0.25"/>
    <row r="25" spans="2:7" ht="17" thickBot="1" x14ac:dyDescent="0.25">
      <c r="C25" s="14" t="s">
        <v>13</v>
      </c>
      <c r="D25" s="12" t="s">
        <v>14</v>
      </c>
      <c r="F25" s="8" t="s">
        <v>16</v>
      </c>
      <c r="G25" s="9"/>
    </row>
    <row r="26" spans="2:7" ht="17" thickBot="1" x14ac:dyDescent="0.25">
      <c r="B26" s="17" t="s">
        <v>0</v>
      </c>
      <c r="C26" s="15">
        <v>191.41</v>
      </c>
      <c r="D26" s="15">
        <v>166.09</v>
      </c>
      <c r="E26" s="22" t="s">
        <v>3</v>
      </c>
      <c r="F26" s="10">
        <f>100 * (C26 - D26) / C26</f>
        <v>13.2281489995298</v>
      </c>
      <c r="G26" s="11"/>
    </row>
    <row r="27" spans="2:7" ht="17" thickBot="1" x14ac:dyDescent="0.25">
      <c r="B27" s="18"/>
      <c r="C27" s="6">
        <v>5.7999999999999996E-3</v>
      </c>
      <c r="D27" s="6">
        <v>8.3000000000000001E-3</v>
      </c>
      <c r="E27" s="6" t="s">
        <v>4</v>
      </c>
      <c r="F27" s="10">
        <f>100 * (C27 - D27) / C27</f>
        <v>-43.103448275862078</v>
      </c>
      <c r="G27" s="11"/>
    </row>
    <row r="28" spans="2:7" ht="17" thickBot="1" x14ac:dyDescent="0.25">
      <c r="B28" s="18"/>
      <c r="C28" s="6">
        <v>5.5999999999999999E-3</v>
      </c>
      <c r="D28" s="6">
        <v>5.4999999999999997E-3</v>
      </c>
      <c r="E28" s="6" t="s">
        <v>5</v>
      </c>
      <c r="F28" s="10">
        <f>100 * (C28 - D28) / C28</f>
        <v>1.7857142857142905</v>
      </c>
      <c r="G28" s="11"/>
    </row>
    <row r="29" spans="2:7" ht="17" thickBot="1" x14ac:dyDescent="0.25">
      <c r="B29" s="18"/>
      <c r="C29" s="6">
        <v>6.0000000000000001E-3</v>
      </c>
      <c r="D29" s="6">
        <v>5.8999999999999999E-3</v>
      </c>
      <c r="E29" s="6" t="s">
        <v>6</v>
      </c>
      <c r="F29" s="10">
        <f>100 * (C29 - D29) / C29</f>
        <v>1.666666666666671</v>
      </c>
      <c r="G29" s="11"/>
    </row>
    <row r="30" spans="2:7" ht="17" thickBot="1" x14ac:dyDescent="0.25">
      <c r="B30" s="18"/>
      <c r="C30" s="6">
        <v>6.0000000000000001E-3</v>
      </c>
      <c r="D30" s="6">
        <v>5.8999999999999999E-3</v>
      </c>
      <c r="E30" s="7" t="s">
        <v>7</v>
      </c>
      <c r="F30" s="10">
        <f>100 * (C30 - D30) / C30</f>
        <v>1.666666666666671</v>
      </c>
      <c r="G30" s="11"/>
    </row>
    <row r="31" spans="2:7" ht="17" thickBot="1" x14ac:dyDescent="0.25">
      <c r="B31" s="18"/>
      <c r="C31" s="6">
        <v>3.6999999999999998E-2</v>
      </c>
      <c r="D31" s="6">
        <v>2.5999999999999999E-2</v>
      </c>
      <c r="E31" s="6" t="s">
        <v>8</v>
      </c>
      <c r="F31" s="10">
        <f>100 * (C31 - D31) / C31</f>
        <v>29.729729729729726</v>
      </c>
      <c r="G31" s="11"/>
    </row>
    <row r="32" spans="2:7" ht="17" thickBot="1" x14ac:dyDescent="0.25">
      <c r="B32" s="19"/>
      <c r="C32" s="25">
        <v>6484</v>
      </c>
      <c r="D32" s="23">
        <v>3284</v>
      </c>
      <c r="E32" s="24" t="s">
        <v>15</v>
      </c>
      <c r="F32" s="10">
        <f>100 * (C32 - D32) / C32</f>
        <v>49.352251696483656</v>
      </c>
      <c r="G32" s="11"/>
    </row>
  </sheetData>
  <mergeCells count="12">
    <mergeCell ref="F28:G28"/>
    <mergeCell ref="F29:G29"/>
    <mergeCell ref="F32:G32"/>
    <mergeCell ref="F30:G30"/>
    <mergeCell ref="F31:G31"/>
    <mergeCell ref="B26:B32"/>
    <mergeCell ref="F25:G25"/>
    <mergeCell ref="F26:G26"/>
    <mergeCell ref="F27:G27"/>
    <mergeCell ref="B5:B10"/>
    <mergeCell ref="B11:B16"/>
    <mergeCell ref="B17:B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Miguel da Silva Santos</dc:creator>
  <cp:lastModifiedBy>José Miguel da Silva Santos</cp:lastModifiedBy>
  <dcterms:created xsi:type="dcterms:W3CDTF">2025-05-02T10:08:53Z</dcterms:created>
  <dcterms:modified xsi:type="dcterms:W3CDTF">2025-05-04T15:40:40Z</dcterms:modified>
</cp:coreProperties>
</file>